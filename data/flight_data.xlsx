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065cd426a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ightLog" sheetId="1" r:id="Re09ed9de821448f9"/>
    <x:sheet xmlns:r="http://schemas.openxmlformats.org/officeDocument/2006/relationships" name="AirportMaster" sheetId="2" r:id="Rb6156d7e9d7b44a8"/>
    <x:sheet xmlns:r="http://schemas.openxmlformats.org/officeDocument/2006/relationships" name="Raw_MFR24" sheetId="3" r:id="R742699827313436f"/>
    <x:sheet xmlns:r="http://schemas.openxmlformats.org/officeDocument/2006/relationships" name="Summary" sheetId="4" r:id="R5c951d304be345af"/>
    <x:sheet xmlns:r="http://schemas.openxmlformats.org/officeDocument/2006/relationships" name="SourceNotes" sheetId="5" r:id="R25e55591177c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48235"/>
      </x:patternFill>
    </x:fill>
    <x:fill>
      <x:patternFill patternType="solid">
        <x:fgColor rgb="7F7F7F"/>
      </x:patternFill>
    </x:fill>
    <x:fill>
      <x:patternFill patternType="solid">
        <x:fgColor rgb="D9EAF7"/>
      </x:patternFill>
    </x:fill>
    <x:fill>
      <x:patternFill patternType="solid">
        <x:fgColor rgb="7030A0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2" fontId="1" fillId="3" borderId="0" xfId="0" applyNumberFormat="1" applyFont="1" applyFill="1" applyBorder="1" applyAlignment="1">
      <x:alignment horizontal="center"/>
    </x:xf>
    <x:xf numFmtId="202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ccc0578df40b9" /><Relationship Type="http://schemas.openxmlformats.org/officeDocument/2006/relationships/theme" Target="/xl/theme/theme1.xml" Id="Rc159be0c3c0c448e" /><Relationship Type="http://schemas.openxmlformats.org/officeDocument/2006/relationships/sharedStrings" Target="/xl/sharedStrings.xml" Id="Ree2665f83938455b" /><Relationship Type="http://schemas.openxmlformats.org/officeDocument/2006/relationships/worksheet" Target="/xl/worksheets/sheet1.xml" Id="Re09ed9de821448f9" /><Relationship Type="http://schemas.openxmlformats.org/officeDocument/2006/relationships/worksheet" Target="/xl/worksheets/sheet2.xml" Id="Rb6156d7e9d7b44a8" /><Relationship Type="http://schemas.openxmlformats.org/officeDocument/2006/relationships/worksheet" Target="/xl/worksheets/sheet3.xml" Id="R742699827313436f" /><Relationship Type="http://schemas.openxmlformats.org/officeDocument/2006/relationships/worksheet" Target="/xl/worksheets/sheet4.xml" Id="R5c951d304be345af" /><Relationship Type="http://schemas.openxmlformats.org/officeDocument/2006/relationships/worksheet" Target="/xl/worksheets/sheet5.xml" Id="R25e55591177c49f9" /></Relationships>
</file>

<file path=xl/tables/table1.xml><?xml version="1.0" encoding="utf-8"?>
<x:table xmlns:x="http://schemas.openxmlformats.org/spreadsheetml/2006/main" id="1" name="FlightLogTable" displayName="FlightLogTable" ref="A1:AI7" headerRowCount="1">
  <x:tableColumns count="35">
    <x:tableColumn id="1" name="Date"/>
    <x:tableColumn id="2" name="Year"/>
    <x:tableColumn id="3" name="FlightNo"/>
    <x:tableColumn id="4" name="Airline"/>
    <x:tableColumn id="5" name="AirlineIATA"/>
    <x:tableColumn id="6" name="AirlineICAO"/>
    <x:tableColumn id="7" name="FromIATA"/>
    <x:tableColumn id="8" name="FromICAO"/>
    <x:tableColumn id="9" name="FromCity"/>
    <x:tableColumn id="10" name="FromAirport"/>
    <x:tableColumn id="11" name="FromCountry"/>
    <x:tableColumn id="12" name="ToIATA"/>
    <x:tableColumn id="13" name="ToICAO"/>
    <x:tableColumn id="14" name="ToCity"/>
    <x:tableColumn id="15" name="ToAirport"/>
    <x:tableColumn id="16" name="ToCountry"/>
    <x:tableColumn id="17" name="Route"/>
    <x:tableColumn id="18" name="DepTime"/>
    <x:tableColumn id="19" name="ArrTime"/>
    <x:tableColumn id="20" name="Duration"/>
    <x:tableColumn id="21" name="DurationHours"/>
    <x:tableColumn id="22" name="DistanceKm"/>
    <x:tableColumn id="23" name="Aircraft"/>
    <x:tableColumn id="24" name="AircraftCode"/>
    <x:tableColumn id="25" name="Registration"/>
    <x:tableColumn id="26" name="SeatNo"/>
    <x:tableColumn id="27" name="SeatTypeCode"/>
    <x:tableColumn id="28" name="FlightClassCode"/>
    <x:tableColumn id="29" name="FlightReasonCode"/>
    <x:tableColumn id="30" name="TripName"/>
    <x:tableColumn id="31" name="Companion"/>
    <x:tableColumn id="32" name="Note"/>
    <x:tableColumn id="33" name="Source"/>
    <x:tableColumn id="34" name="AirlineRaw"/>
    <x:tableColumn id="35" name="DataQualityNote"/>
  </x:tableColumns>
  <x:tableStyleInfo name="TableStyleMedium2" showRowStripes="1"/>
</x:table>
</file>

<file path=xl/tables/table2.xml><?xml version="1.0" encoding="utf-8"?>
<x:table xmlns:x="http://schemas.openxmlformats.org/spreadsheetml/2006/main" id="2" name="AirportMasterTable" displayName="AirportMasterTable" ref="A1:H6" headerRowCount="1">
  <x:tableColumns count="8">
    <x:tableColumn id="1" name="IATA"/>
    <x:tableColumn id="2" name="ICAO"/>
    <x:tableColumn id="3" name="City"/>
    <x:tableColumn id="4" name="AirportName"/>
    <x:tableColumn id="5" name="Country"/>
    <x:tableColumn id="6" name="CountryCode"/>
    <x:tableColumn id="7" name="Latitude"/>
    <x:tableColumn id="8" name="Longitude"/>
  </x:tableColumns>
  <x:tableStyleInfo name="TableStyleMedium2" showRowStripes="1"/>
</x:table>
</file>

<file path=xl/tables/table3.xml><?xml version="1.0" encoding="utf-8"?>
<x:table xmlns:x="http://schemas.openxmlformats.org/spreadsheetml/2006/main" id="3" name="RawMFR24Table" displayName="RawMFR24Table" ref="A1:S7" headerRowCount="1">
  <x:tableColumns count="19">
    <x:tableColumn id="1" name="Date"/>
    <x:tableColumn id="2" name="Flight number"/>
    <x:tableColumn id="3" name="From"/>
    <x:tableColumn id="4" name="To"/>
    <x:tableColumn id="5" name="Dep time"/>
    <x:tableColumn id="6" name="Arr time"/>
    <x:tableColumn id="7" name="Duration"/>
    <x:tableColumn id="8" name="Airline"/>
    <x:tableColumn id="9" name="Aircraft"/>
    <x:tableColumn id="10" name="Registration"/>
    <x:tableColumn id="11" name="Seat number"/>
    <x:tableColumn id="12" name="Seat type"/>
    <x:tableColumn id="13" name="Flight class"/>
    <x:tableColumn id="14" name="Flight reason"/>
    <x:tableColumn id="15" name="Note"/>
    <x:tableColumn id="16" name="Dep_id"/>
    <x:tableColumn id="17" name="Arr_id"/>
    <x:tableColumn id="18" name="Airline_id"/>
    <x:tableColumn id="19" name="Aircraft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ee716ae03a46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ed2badca0049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fc6c25409f4d0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8" hidden="0" customWidth="1"/>
    <x:col min="31" max="31" width="18" hidden="0" customWidth="1"/>
    <x:col min="32" max="32" width="18" hidden="0" customWidth="1"/>
    <x:col min="33" max="33" width="28" hidden="0" customWidth="1"/>
    <x:col min="34" max="34" width="28" hidden="0" customWidth="1"/>
    <x:col min="35" max="35" width="28" hidden="0" customWidth="1"/>
  </x:cols>
  <x:sheetData>
    <x:row r="1">
      <x:c r="A1" s="14" t="str">
        <x:v>Date</x:v>
      </x:c>
      <x:c r="B1" s="10" t="str">
        <x:v>Year</x:v>
      </x:c>
      <x:c r="C1" s="10" t="str">
        <x:v>FlightNo</x:v>
      </x:c>
      <x:c r="D1" s="10" t="str">
        <x:v>Airline</x:v>
      </x:c>
      <x:c r="E1" s="10" t="str">
        <x:v>AirlineIATA</x:v>
      </x:c>
      <x:c r="F1" s="10" t="str">
        <x:v>AirlineICAO</x:v>
      </x:c>
      <x:c r="G1" s="10" t="str">
        <x:v>FromIATA</x:v>
      </x:c>
      <x:c r="H1" s="10" t="str">
        <x:v>FromICAO</x:v>
      </x:c>
      <x:c r="I1" s="10" t="str">
        <x:v>FromCity</x:v>
      </x:c>
      <x:c r="J1" s="10" t="str">
        <x:v>FromAirport</x:v>
      </x:c>
      <x:c r="K1" s="10" t="str">
        <x:v>FromCountry</x:v>
      </x:c>
      <x:c r="L1" s="10" t="str">
        <x:v>ToIATA</x:v>
      </x:c>
      <x:c r="M1" s="10" t="str">
        <x:v>ToICAO</x:v>
      </x:c>
      <x:c r="N1" s="10" t="str">
        <x:v>ToCity</x:v>
      </x:c>
      <x:c r="O1" s="10" t="str">
        <x:v>ToAirport</x:v>
      </x:c>
      <x:c r="P1" s="10" t="str">
        <x:v>ToCountry</x:v>
      </x:c>
      <x:c r="Q1" s="10" t="str">
        <x:v>Route</x:v>
      </x:c>
      <x:c r="R1" s="10" t="str">
        <x:v>DepTime</x:v>
      </x:c>
      <x:c r="S1" s="10" t="str">
        <x:v>ArrTime</x:v>
      </x:c>
      <x:c r="T1" s="10" t="str">
        <x:v>Duration</x:v>
      </x:c>
      <x:c r="U1" s="16" t="str">
        <x:v>DurationHours</x:v>
      </x:c>
      <x:c r="V1" s="16" t="str">
        <x:v>DistanceKm</x:v>
      </x:c>
      <x:c r="W1" s="10" t="str">
        <x:v>Aircraft</x:v>
      </x:c>
      <x:c r="X1" s="10" t="str">
        <x:v>AircraftCode</x:v>
      </x:c>
      <x:c r="Y1" s="10" t="str">
        <x:v>Registration</x:v>
      </x:c>
      <x:c r="Z1" s="10" t="str">
        <x:v>SeatNo</x:v>
      </x:c>
      <x:c r="AA1" s="10" t="str">
        <x:v>SeatTypeCode</x:v>
      </x:c>
      <x:c r="AB1" s="10" t="str">
        <x:v>FlightClassCode</x:v>
      </x:c>
      <x:c r="AC1" s="10" t="str">
        <x:v>FlightReasonCode</x:v>
      </x:c>
      <x:c r="AD1" s="10" t="str">
        <x:v>TripName</x:v>
      </x:c>
      <x:c r="AE1" s="10" t="str">
        <x:v>Companion</x:v>
      </x:c>
      <x:c r="AF1" s="10" t="str">
        <x:v>Note</x:v>
      </x:c>
      <x:c r="AG1" s="10" t="str">
        <x:v>Source</x:v>
      </x:c>
      <x:c r="AH1" s="10" t="str">
        <x:v>AirlineRaw</x:v>
      </x:c>
      <x:c r="AI1" s="10" t="str">
        <x:v>DataQualityNote</x:v>
      </x:c>
    </x:row>
    <x:row r="2">
      <x:c r="A2" s="11" t="n">
        <x:v>45164</x:v>
      </x:c>
      <x:c r="B2" s="11" t="n">
        <x:v>2023</x:v>
      </x:c>
      <x:c r="C2" s="11" t="str">
        <x:v>BR192</x:v>
      </x:c>
      <x:c r="D2" s="11" t="str">
        <x:v>EVA Airways</x:v>
      </x:c>
      <x:c r="E2" s="11" t="str">
        <x:v>BR</x:v>
      </x:c>
      <x:c r="F2" s="11" t="str">
        <x:v>EVA</x:v>
      </x:c>
      <x:c r="G2" s="11" t="str">
        <x:v>TSA</x:v>
      </x:c>
      <x:c r="H2" s="11" t="str">
        <x:v>RCSS</x:v>
      </x:c>
      <x:c r="I2" s="11" t="str">
        <x:v>Taipei</x:v>
      </x:c>
      <x:c r="J2" s="11" t="str">
        <x:v>Taipei Songshan Airport</x:v>
      </x:c>
      <x:c r="K2" s="11" t="str">
        <x:v>Taiwan</x:v>
      </x:c>
      <x:c r="L2" s="11" t="str">
        <x:v>HND</x:v>
      </x:c>
      <x:c r="M2" s="11" t="str">
        <x:v>RJTT</x:v>
      </x:c>
      <x:c r="N2" s="11" t="str">
        <x:v>Tokyo</x:v>
      </x:c>
      <x:c r="O2" s="11" t="str">
        <x:v>Haneda</x:v>
      </x:c>
      <x:c r="P2" s="11" t="str">
        <x:v>Japan</x:v>
      </x:c>
      <x:c r="Q2" s="11" t="str">
        <x:v>TSA → HND</x:v>
      </x:c>
      <x:c r="R2" s="11" t="str">
        <x:v>07:20:00</x:v>
      </x:c>
      <x:c r="S2" s="11" t="str">
        <x:v>11:35:00</x:v>
      </x:c>
      <x:c r="T2" s="11" t="str">
        <x:v>03:15:00</x:v>
      </x:c>
      <x:c r="U2" s="11" t="n">
        <x:v>3.25</x:v>
      </x:c>
      <x:c r="V2" s="11" t="n">
        <x:v>2097</x:v>
      </x:c>
      <x:c r="W2" s="11" t="str">
        <x:v>Boeing 787-10</x:v>
      </x:c>
      <x:c r="X2" s="11" t="str">
        <x:v>B78X</x:v>
      </x:c>
      <x:c r="Y2" s="11" t="str">
        <x:v>B-17813</x:v>
      </x:c>
      <x:c r="Z2" s="11" t="str">
        <x:v>57H</x:v>
      </x:c>
      <x:c r="AA2" s="11" t="n">
        <x:v>3</x:v>
      </x:c>
      <x:c r="AB2" s="11" t="n">
        <x:v>1</x:v>
      </x:c>
      <x:c r="AC2" s="11" t="n">
        <x:v>1</x:v>
      </x:c>
      <x:c r="AD2" s="11" t="str"/>
      <x:c r="AE2" s="11" t="str"/>
      <x:c r="AF2" s="11" t="str"/>
      <x:c r="AG2" s="11" t="str">
        <x:v>myFlightradar24 export</x:v>
      </x:c>
      <x:c r="AH2" s="11" t="str">
        <x:v>EVA Airways (BR/EVA)</x:v>
      </x:c>
      <x:c r="AI2" s="11" t="str"/>
    </x:row>
    <x:row r="3">
      <x:c r="A3" s="11" t="n">
        <x:v>45167</x:v>
      </x:c>
      <x:c r="B3" s="11" t="n">
        <x:v>2023</x:v>
      </x:c>
      <x:c r="C3" s="11" t="str">
        <x:v>BR191</x:v>
      </x:c>
      <x:c r="D3" s="11" t="str">
        <x:v>EVA Airways</x:v>
      </x:c>
      <x:c r="E3" s="11" t="str">
        <x:v>BR</x:v>
      </x:c>
      <x:c r="F3" s="11" t="str">
        <x:v>EVA</x:v>
      </x:c>
      <x:c r="G3" s="11" t="str">
        <x:v>HND</x:v>
      </x:c>
      <x:c r="H3" s="11" t="str">
        <x:v>RJTT</x:v>
      </x:c>
      <x:c r="I3" s="11" t="str">
        <x:v>Tokyo</x:v>
      </x:c>
      <x:c r="J3" s="11" t="str">
        <x:v>Haneda</x:v>
      </x:c>
      <x:c r="K3" s="11" t="str">
        <x:v>Japan</x:v>
      </x:c>
      <x:c r="L3" s="11" t="str">
        <x:v>TSA</x:v>
      </x:c>
      <x:c r="M3" s="11" t="str">
        <x:v>RCSS</x:v>
      </x:c>
      <x:c r="N3" s="11" t="str">
        <x:v>Taipei</x:v>
      </x:c>
      <x:c r="O3" s="11" t="str">
        <x:v>Taipei Songshan Airport</x:v>
      </x:c>
      <x:c r="P3" s="11" t="str">
        <x:v>Taiwan</x:v>
      </x:c>
      <x:c r="Q3" s="11" t="str">
        <x:v>HND → TSA</x:v>
      </x:c>
      <x:c r="R3" s="11" t="str">
        <x:v>12:40:00</x:v>
      </x:c>
      <x:c r="S3" s="11" t="str">
        <x:v>15:05:00</x:v>
      </x:c>
      <x:c r="T3" s="11" t="str">
        <x:v>03:25:00</x:v>
      </x:c>
      <x:c r="U3" s="11" t="n">
        <x:v>3.42</x:v>
      </x:c>
      <x:c r="V3" s="11" t="n">
        <x:v>2097</x:v>
      </x:c>
      <x:c r="W3" s="11" t="str">
        <x:v>Boeing 787-10</x:v>
      </x:c>
      <x:c r="X3" s="11" t="str">
        <x:v>B78X</x:v>
      </x:c>
      <x:c r="Y3" s="11" t="str">
        <x:v>B-17811</x:v>
      </x:c>
      <x:c r="Z3" s="11" t="str">
        <x:v>56H</x:v>
      </x:c>
      <x:c r="AA3" s="11" t="n">
        <x:v>3</x:v>
      </x:c>
      <x:c r="AB3" s="11" t="n">
        <x:v>1</x:v>
      </x:c>
      <x:c r="AC3" s="11" t="n">
        <x:v>1</x:v>
      </x:c>
      <x:c r="AD3" s="11" t="str"/>
      <x:c r="AE3" s="11" t="str"/>
      <x:c r="AF3" s="11" t="str"/>
      <x:c r="AG3" s="11" t="str">
        <x:v>myFlightradar24 export</x:v>
      </x:c>
      <x:c r="AH3" s="11" t="str">
        <x:v>EVA Airways (BR/EVA)</x:v>
      </x:c>
      <x:c r="AI3" s="11" t="str"/>
    </x:row>
    <x:row r="4">
      <x:c r="A4" s="11" t="n">
        <x:v>45318</x:v>
      </x:c>
      <x:c r="B4" s="11" t="n">
        <x:v>2024</x:v>
      </x:c>
      <x:c r="C4" s="11" t="str">
        <x:v>CI112</x:v>
      </x:c>
      <x:c r="D4" s="11" t="str">
        <x:v>China Airlines</x:v>
      </x:c>
      <x:c r="E4" s="11" t="str">
        <x:v>CI</x:v>
      </x:c>
      <x:c r="F4" s="11" t="str">
        <x:v>CAL</x:v>
      </x:c>
      <x:c r="G4" s="11" t="str">
        <x:v>TPE</x:v>
      </x:c>
      <x:c r="H4" s="11" t="str">
        <x:v>RCTP</x:v>
      </x:c>
      <x:c r="I4" s="11" t="str">
        <x:v>Taipei</x:v>
      </x:c>
      <x:c r="J4" s="11" t="str">
        <x:v>Taoyuan</x:v>
      </x:c>
      <x:c r="K4" s="11" t="str">
        <x:v>Taiwan</x:v>
      </x:c>
      <x:c r="L4" s="11" t="str">
        <x:v>HIJ</x:v>
      </x:c>
      <x:c r="M4" s="11" t="str">
        <x:v>RJOA</x:v>
      </x:c>
      <x:c r="N4" s="11" t="str">
        <x:v>Hiroshima</x:v>
      </x:c>
      <x:c r="O4" s="11" t="str">
        <x:v>Hiroshima</x:v>
      </x:c>
      <x:c r="P4" s="11" t="str">
        <x:v>Japan</x:v>
      </x:c>
      <x:c r="Q4" s="11" t="str">
        <x:v>TPE → HIJ</x:v>
      </x:c>
      <x:c r="R4" s="11" t="str">
        <x:v>17:20:00</x:v>
      </x:c>
      <x:c r="S4" s="11" t="str">
        <x:v>20:35:00</x:v>
      </x:c>
      <x:c r="T4" s="11" t="str">
        <x:v>02:15:00</x:v>
      </x:c>
      <x:c r="U4" s="11" t="n">
        <x:v>2.25</x:v>
      </x:c>
      <x:c r="V4" s="11" t="n">
        <x:v>1533</x:v>
      </x:c>
      <x:c r="W4" s="11" t="str">
        <x:v>Airbus A321neo</x:v>
      </x:c>
      <x:c r="X4" s="11" t="str">
        <x:v>A21N</x:v>
      </x:c>
      <x:c r="Y4" s="11" t="str">
        <x:v>B-18110</x:v>
      </x:c>
      <x:c r="Z4" s="11" t="str"/>
      <x:c r="AA4" s="11" t="n">
        <x:v>3</x:v>
      </x:c>
      <x:c r="AB4" s="11" t="n">
        <x:v>1</x:v>
      </x:c>
      <x:c r="AC4" s="11" t="n">
        <x:v>1</x:v>
      </x:c>
      <x:c r="AD4" s="11" t="str"/>
      <x:c r="AE4" s="11" t="str"/>
      <x:c r="AF4" s="11" t="str"/>
      <x:c r="AG4" s="11" t="str">
        <x:v>myFlightradar24 export</x:v>
      </x:c>
      <x:c r="AH4" s="11" t="str">
        <x:v>China Airlines (CI/CAL)</x:v>
      </x:c>
      <x:c r="AI4" s="11" t="str"/>
    </x:row>
    <x:row r="5">
      <x:c r="A5" s="11" t="n">
        <x:v>45326</x:v>
      </x:c>
      <x:c r="B5" s="11" t="n">
        <x:v>2024</x:v>
      </x:c>
      <x:c r="C5" s="11" t="str">
        <x:v>CI113</x:v>
      </x:c>
      <x:c r="D5" s="11" t="str">
        <x:v>China Airlines</x:v>
      </x:c>
      <x:c r="E5" s="11" t="str">
        <x:v>CI</x:v>
      </x:c>
      <x:c r="F5" s="11" t="str">
        <x:v>CAL</x:v>
      </x:c>
      <x:c r="G5" s="11" t="str">
        <x:v>HIJ</x:v>
      </x:c>
      <x:c r="H5" s="11" t="str">
        <x:v>RJOA</x:v>
      </x:c>
      <x:c r="I5" s="11" t="str">
        <x:v>Hiroshima</x:v>
      </x:c>
      <x:c r="J5" s="11" t="str">
        <x:v>Hiroshima</x:v>
      </x:c>
      <x:c r="K5" s="11" t="str">
        <x:v>Japan</x:v>
      </x:c>
      <x:c r="L5" s="11" t="str">
        <x:v>TPE</x:v>
      </x:c>
      <x:c r="M5" s="11" t="str">
        <x:v>RCTP</x:v>
      </x:c>
      <x:c r="N5" s="11" t="str">
        <x:v>Taipei</x:v>
      </x:c>
      <x:c r="O5" s="11" t="str">
        <x:v>Taoyuan</x:v>
      </x:c>
      <x:c r="P5" s="11" t="str">
        <x:v>Taiwan</x:v>
      </x:c>
      <x:c r="Q5" s="11" t="str">
        <x:v>HIJ → TPE</x:v>
      </x:c>
      <x:c r="R5" s="11" t="str">
        <x:v>09:30:00</x:v>
      </x:c>
      <x:c r="S5" s="11" t="str">
        <x:v>11:25:00</x:v>
      </x:c>
      <x:c r="T5" s="11" t="str">
        <x:v>02:55:00</x:v>
      </x:c>
      <x:c r="U5" s="11" t="n">
        <x:v>2.92</x:v>
      </x:c>
      <x:c r="V5" s="11" t="n">
        <x:v>1533</x:v>
      </x:c>
      <x:c r="W5" s="11" t="str">
        <x:v>Airbus A321neo</x:v>
      </x:c>
      <x:c r="X5" s="11" t="str">
        <x:v>A21N</x:v>
      </x:c>
      <x:c r="Y5" s="11" t="str">
        <x:v>B-18110</x:v>
      </x:c>
      <x:c r="Z5" s="11" t="str"/>
      <x:c r="AA5" s="11" t="n">
        <x:v>3</x:v>
      </x:c>
      <x:c r="AB5" s="11" t="n">
        <x:v>1</x:v>
      </x:c>
      <x:c r="AC5" s="11" t="n">
        <x:v>1</x:v>
      </x:c>
      <x:c r="AD5" s="11" t="str"/>
      <x:c r="AE5" s="11" t="str"/>
      <x:c r="AF5" s="11" t="str"/>
      <x:c r="AG5" s="11" t="str">
        <x:v>myFlightradar24 export</x:v>
      </x:c>
      <x:c r="AH5" s="11" t="str">
        <x:v>China Airlines (CI/CAL)</x:v>
      </x:c>
      <x:c r="AI5" s="11" t="str"/>
    </x:row>
    <x:row r="6">
      <x:c r="A6" s="11" t="n">
        <x:v>45647</x:v>
      </x:c>
      <x:c r="B6" s="11" t="n">
        <x:v>2024</x:v>
      </x:c>
      <x:c r="C6" s="11" t="str">
        <x:v>BR178</x:v>
      </x:c>
      <x:c r="D6" s="11" t="str">
        <x:v>EVA Airways</x:v>
      </x:c>
      <x:c r="E6" s="11" t="str">
        <x:v>BR</x:v>
      </x:c>
      <x:c r="F6" s="11" t="str">
        <x:v>EVA</x:v>
      </x:c>
      <x:c r="G6" s="11" t="str">
        <x:v>TPE</x:v>
      </x:c>
      <x:c r="H6" s="11" t="str">
        <x:v>RCTP</x:v>
      </x:c>
      <x:c r="I6" s="11" t="str">
        <x:v>Taipei</x:v>
      </x:c>
      <x:c r="J6" s="11" t="str">
        <x:v>Taoyuan</x:v>
      </x:c>
      <x:c r="K6" s="11" t="str">
        <x:v>Taiwan</x:v>
      </x:c>
      <x:c r="L6" s="11" t="str">
        <x:v>KIX</x:v>
      </x:c>
      <x:c r="M6" s="11" t="str">
        <x:v>RJBB</x:v>
      </x:c>
      <x:c r="N6" s="11" t="str">
        <x:v>Osaka</x:v>
      </x:c>
      <x:c r="O6" s="11" t="str">
        <x:v>Kansai</x:v>
      </x:c>
      <x:c r="P6" s="11" t="str">
        <x:v>Japan</x:v>
      </x:c>
      <x:c r="Q6" s="11" t="str">
        <x:v>TPE → KIX</x:v>
      </x:c>
      <x:c r="R6" s="11" t="str">
        <x:v>06:30:00</x:v>
      </x:c>
      <x:c r="S6" s="11" t="str">
        <x:v>09:55:00</x:v>
      </x:c>
      <x:c r="T6" s="11" t="str">
        <x:v>02:25:00</x:v>
      </x:c>
      <x:c r="U6" s="11" t="n">
        <x:v>2.42</x:v>
      </x:c>
      <x:c r="V6" s="11" t="n">
        <x:v>1703</x:v>
      </x:c>
      <x:c r="W6" s="11" t="str">
        <x:v>Boeing 787-10</x:v>
      </x:c>
      <x:c r="X6" s="11" t="str">
        <x:v>B78X</x:v>
      </x:c>
      <x:c r="Y6" s="11" t="str">
        <x:v>B-17812</x:v>
      </x:c>
      <x:c r="Z6" s="11" t="str">
        <x:v>23G</x:v>
      </x:c>
      <x:c r="AA6" s="11" t="n">
        <x:v>0</x:v>
      </x:c>
      <x:c r="AB6" s="11" t="n">
        <x:v>0</x:v>
      </x:c>
      <x:c r="AC6" s="11" t="n">
        <x:v>0</x:v>
      </x:c>
      <x:c r="AD6" s="11" t="str"/>
      <x:c r="AE6" s="11" t="str"/>
      <x:c r="AF6" s="11" t="str"/>
      <x:c r="AG6" s="11" t="str">
        <x:v>myFlightradar24 export</x:v>
      </x:c>
      <x:c r="AH6" s="11" t="str">
        <x:v>EVA Airways (BR/EVA)</x:v>
      </x:c>
      <x:c r="AI6" s="11" t="str"/>
    </x:row>
    <x:row r="7">
      <x:c r="A7" s="11" t="n">
        <x:v>45651</x:v>
      </x:c>
      <x:c r="B7" s="11" t="n">
        <x:v>2024</x:v>
      </x:c>
      <x:c r="C7" s="11" t="str">
        <x:v>IT213</x:v>
      </x:c>
      <x:c r="D7" s="11" t="str">
        <x:v>Tigerair Taiwan</x:v>
      </x:c>
      <x:c r="E7" s="11" t="str">
        <x:v>IT</x:v>
      </x:c>
      <x:c r="F7" s="11" t="str">
        <x:v>TTW</x:v>
      </x:c>
      <x:c r="G7" s="11" t="str">
        <x:v>KIX</x:v>
      </x:c>
      <x:c r="H7" s="11" t="str">
        <x:v>RJBB</x:v>
      </x:c>
      <x:c r="I7" s="11" t="str">
        <x:v>Osaka</x:v>
      </x:c>
      <x:c r="J7" s="11" t="str">
        <x:v>Kansai</x:v>
      </x:c>
      <x:c r="K7" s="11" t="str">
        <x:v>Japan</x:v>
      </x:c>
      <x:c r="L7" s="11" t="str">
        <x:v>TPE</x:v>
      </x:c>
      <x:c r="M7" s="11" t="str">
        <x:v>RCTP</x:v>
      </x:c>
      <x:c r="N7" s="11" t="str">
        <x:v>Taipei</x:v>
      </x:c>
      <x:c r="O7" s="11" t="str">
        <x:v>Taoyuan</x:v>
      </x:c>
      <x:c r="P7" s="11" t="str">
        <x:v>Taiwan</x:v>
      </x:c>
      <x:c r="Q7" s="11" t="str">
        <x:v>KIX → TPE</x:v>
      </x:c>
      <x:c r="R7" s="11" t="str">
        <x:v>18:55:00</x:v>
      </x:c>
      <x:c r="S7" s="11" t="str">
        <x:v>21:15:00</x:v>
      </x:c>
      <x:c r="T7" s="11" t="str">
        <x:v>03:20:00</x:v>
      </x:c>
      <x:c r="U7" s="11" t="n">
        <x:v>3.33</x:v>
      </x:c>
      <x:c r="V7" s="11" t="n">
        <x:v>1703</x:v>
      </x:c>
      <x:c r="W7" s="11" t="str">
        <x:v>Airbus A320</x:v>
      </x:c>
      <x:c r="X7" s="11" t="str">
        <x:v>A320</x:v>
      </x:c>
      <x:c r="Y7" s="11" t="str">
        <x:v>B-50016</x:v>
      </x:c>
      <x:c r="Z7" s="11" t="str"/>
      <x:c r="AA7" s="11" t="n">
        <x:v>0</x:v>
      </x:c>
      <x:c r="AB7" s="11" t="n">
        <x:v>0</x:v>
      </x:c>
      <x:c r="AC7" s="11" t="n">
        <x:v>0</x:v>
      </x:c>
      <x:c r="AD7" s="11" t="str"/>
      <x:c r="AE7" s="11" t="str"/>
      <x:c r="AF7" s="11" t="str"/>
      <x:c r="AG7" s="11" t="str">
        <x:v>myFlightradar24 export</x:v>
      </x:c>
      <x:c r="AH7" s="11" t="str">
        <x:v>Kingfisher Airlines (IT/KFR)</x:v>
      </x:c>
      <x:c r="AI7" s="11" t="str">
        <x:v>myFlightradar24 export resolved IT as Kingfisher Airlines; corrected to Tigerair Taiwan.</x:v>
      </x:c>
    </x:row>
  </x:sheetData>
  <x:pageMargins left="0.7" right="0.7" top="0.75" bottom="0.75" header="0.3" footer="0.3"/>
  <x:tableParts count="1">
    <x:tablePart xmlns:r="http://schemas.openxmlformats.org/officeDocument/2006/relationships" r:id="R92ee716ae03a46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4.039999961853027" hidden="0" customWidth="1"/>
    <x:col min="3" max="3" width="8.079999923706055" hidden="0" customWidth="1"/>
    <x:col min="4" max="4" width="18.84000015258789" hidden="0" customWidth="1"/>
    <x:col min="5" max="5" width="6.460000038146973" hidden="0" customWidth="1"/>
    <x:col min="6" max="6" width="10.630000114440918" hidden="0" customWidth="1"/>
    <x:col min="7" max="7" width="6.730000019073486" hidden="0" customWidth="1"/>
    <x:col min="8" max="8" width="8.079999923706055" hidden="0" customWidth="1"/>
  </x:cols>
  <x:sheetData>
    <x:row r="1">
      <x:c r="A1" s="20" t="str">
        <x:v>IATA</x:v>
      </x:c>
      <x:c r="B1" s="20" t="str">
        <x:v>ICAO</x:v>
      </x:c>
      <x:c r="C1" s="20" t="str">
        <x:v>City</x:v>
      </x:c>
      <x:c r="D1" s="20" t="str">
        <x:v>AirportName</x:v>
      </x:c>
      <x:c r="E1" s="20" t="str">
        <x:v>Country</x:v>
      </x:c>
      <x:c r="F1" s="20" t="str">
        <x:v>CountryCode</x:v>
      </x:c>
      <x:c r="G1" s="24" t="str">
        <x:v>Latitude</x:v>
      </x:c>
      <x:c r="H1" s="24" t="str">
        <x:v>Longitude</x:v>
      </x:c>
    </x:row>
    <x:row r="2">
      <x:c r="A2" t="str">
        <x:v>HIJ</x:v>
      </x:c>
      <x:c r="B2" t="str">
        <x:v>RJOA</x:v>
      </x:c>
      <x:c r="C2" t="str">
        <x:v>Hiroshima</x:v>
      </x:c>
      <x:c r="D2" t="str">
        <x:v>Hiroshima</x:v>
      </x:c>
      <x:c r="E2" t="str">
        <x:v>Japan</x:v>
      </x:c>
      <x:c r="F2" t="str">
        <x:v>JP</x:v>
      </x:c>
      <x:c r="G2" t="n">
        <x:v>34.4361</x:v>
      </x:c>
      <x:c r="H2" t="n">
        <x:v>132.9194</x:v>
      </x:c>
    </x:row>
    <x:row r="3">
      <x:c r="A3" t="str">
        <x:v>HND</x:v>
      </x:c>
      <x:c r="B3" t="str">
        <x:v>RJTT</x:v>
      </x:c>
      <x:c r="C3" t="str">
        <x:v>Tokyo</x:v>
      </x:c>
      <x:c r="D3" t="str">
        <x:v>Haneda</x:v>
      </x:c>
      <x:c r="E3" t="str">
        <x:v>Japan</x:v>
      </x:c>
      <x:c r="F3" t="str">
        <x:v>JP</x:v>
      </x:c>
      <x:c r="G3" t="n">
        <x:v>35.5494</x:v>
      </x:c>
      <x:c r="H3" t="n">
        <x:v>139.7798</x:v>
      </x:c>
    </x:row>
    <x:row r="4">
      <x:c r="A4" t="str">
        <x:v>KIX</x:v>
      </x:c>
      <x:c r="B4" t="str">
        <x:v>RJBB</x:v>
      </x:c>
      <x:c r="C4" t="str">
        <x:v>Osaka</x:v>
      </x:c>
      <x:c r="D4" t="str">
        <x:v>Kansai</x:v>
      </x:c>
      <x:c r="E4" t="str">
        <x:v>Japan</x:v>
      </x:c>
      <x:c r="F4" t="str">
        <x:v>JP</x:v>
      </x:c>
      <x:c r="G4" t="n">
        <x:v>34.4347</x:v>
      </x:c>
      <x:c r="H4" t="n">
        <x:v>135.244</x:v>
      </x:c>
    </x:row>
    <x:row r="5">
      <x:c r="A5" t="str">
        <x:v>TPE</x:v>
      </x:c>
      <x:c r="B5" t="str">
        <x:v>RCTP</x:v>
      </x:c>
      <x:c r="C5" t="str">
        <x:v>Taipei</x:v>
      </x:c>
      <x:c r="D5" t="str">
        <x:v>Taoyuan</x:v>
      </x:c>
      <x:c r="E5" t="str">
        <x:v>Taiwan</x:v>
      </x:c>
      <x:c r="F5" t="str">
        <x:v>TW</x:v>
      </x:c>
      <x:c r="G5" t="n">
        <x:v>25.0777</x:v>
      </x:c>
      <x:c r="H5" t="n">
        <x:v>121.2328</x:v>
      </x:c>
    </x:row>
    <x:row r="6">
      <x:c r="A6" t="str">
        <x:v>TSA</x:v>
      </x:c>
      <x:c r="B6" t="str">
        <x:v>RCSS</x:v>
      </x:c>
      <x:c r="C6" t="str">
        <x:v>Taipei</x:v>
      </x:c>
      <x:c r="D6" t="str">
        <x:v>Taipei Songshan Airport</x:v>
      </x:c>
      <x:c r="E6" t="str">
        <x:v>Taiwan</x:v>
      </x:c>
      <x:c r="F6" t="str">
        <x:v>TW</x:v>
      </x:c>
      <x:c r="G6" t="n">
        <x:v>25.0697</x:v>
      </x:c>
      <x:c r="H6" t="n">
        <x:v>121.5525</x:v>
      </x:c>
    </x:row>
  </x:sheetData>
  <x:pageMargins left="0.7" right="0.7" top="0.75" bottom="0.75" header="0.3" footer="0.3"/>
  <x:tableParts count="1">
    <x:tablePart xmlns:r="http://schemas.openxmlformats.org/officeDocument/2006/relationships" r:id="R2bed2badca0049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1.4399995803833" hidden="0" customWidth="1"/>
    <x:col min="3" max="3" width="34.59000015258789" hidden="0" customWidth="1"/>
    <x:col min="4" max="4" width="34.59000015258789" hidden="0" customWidth="1"/>
    <x:col min="5" max="5" width="7.400000095367432" hidden="0" customWidth="1"/>
    <x:col min="6" max="6" width="7" hidden="0" customWidth="1"/>
    <x:col min="7" max="7" width="7.130000114440918" hidden="0" customWidth="1"/>
    <x:col min="8" max="8" width="21.1299991607666" hidden="0" customWidth="1"/>
    <x:col min="9" max="9" width="18.709999084472656" hidden="0" customWidth="1"/>
    <x:col min="10" max="10" width="9.829999923706055" hidden="0" customWidth="1"/>
    <x:col min="11" max="11" width="10.359999656677246" hidden="0" customWidth="1"/>
    <x:col min="12" max="12" width="7.670000076293945" hidden="0" customWidth="1"/>
    <x:col min="13" max="13" width="8.75" hidden="0" customWidth="1"/>
    <x:col min="14" max="14" width="10.5" hidden="0" customWidth="1"/>
    <x:col min="15" max="15" width="3.9000000953674316" hidden="0" customWidth="1"/>
    <x:col min="16" max="16" width="5.789999961853027" hidden="0" customWidth="1"/>
    <x:col min="17" max="17" width="5.110000133514404" hidden="0" customWidth="1"/>
    <x:col min="18" max="18" width="7.809999942779541" hidden="0" customWidth="1"/>
    <x:col min="19" max="19" width="8.479999542236328" hidden="0" customWidth="1"/>
  </x:cols>
  <x:sheetData>
    <x:row r="1">
      <x:c r="A1" s="28" t="str">
        <x:v>Date</x:v>
      </x:c>
      <x:c r="B1" s="28" t="str">
        <x:v>Flight number</x:v>
      </x:c>
      <x:c r="C1" s="28" t="str">
        <x:v>From</x:v>
      </x:c>
      <x:c r="D1" s="28" t="str">
        <x:v>To</x:v>
      </x:c>
      <x:c r="E1" s="28" t="str">
        <x:v>Dep time</x:v>
      </x:c>
      <x:c r="F1" s="28" t="str">
        <x:v>Arr time</x:v>
      </x:c>
      <x:c r="G1" s="28" t="str">
        <x:v>Duration</x:v>
      </x:c>
      <x:c r="H1" s="28" t="str">
        <x:v>Airline</x:v>
      </x:c>
      <x:c r="I1" s="28" t="str">
        <x:v>Aircraft</x:v>
      </x:c>
      <x:c r="J1" s="28" t="str">
        <x:v>Registration</x:v>
      </x:c>
      <x:c r="K1" s="28" t="str">
        <x:v>Seat number</x:v>
      </x:c>
      <x:c r="L1" s="28" t="str">
        <x:v>Seat type</x:v>
      </x:c>
      <x:c r="M1" s="28" t="str">
        <x:v>Flight class</x:v>
      </x:c>
      <x:c r="N1" s="28" t="str">
        <x:v>Flight reason</x:v>
      </x:c>
      <x:c r="O1" s="28" t="str">
        <x:v>Note</x:v>
      </x:c>
      <x:c r="P1" s="28" t="str">
        <x:v>Dep_id</x:v>
      </x:c>
      <x:c r="Q1" s="28" t="str">
        <x:v>Arr_id</x:v>
      </x:c>
      <x:c r="R1" s="28" t="str">
        <x:v>Airline_id</x:v>
      </x:c>
      <x:c r="S1" s="28" t="str">
        <x:v>Aircraft_id</x:v>
      </x:c>
    </x:row>
    <x:row r="2">
      <x:c r="A2" t="str">
        <x:v>2023-08-26</x:v>
      </x:c>
      <x:c r="B2" t="str">
        <x:v>BR192</x:v>
      </x:c>
      <x:c r="C2" t="str">
        <x:v>Taipei / Taipei Songshan Airport (TSA/RCSS)</x:v>
      </x:c>
      <x:c r="D2" t="str">
        <x:v>Tokyo / Haneda (HND/RJTT)</x:v>
      </x:c>
      <x:c r="E2" t="str">
        <x:v>07:20:00</x:v>
      </x:c>
      <x:c r="F2" t="str">
        <x:v>11:35:00</x:v>
      </x:c>
      <x:c r="G2" t="str">
        <x:v>03:15:00</x:v>
      </x:c>
      <x:c r="H2" t="str">
        <x:v>EVA Airways (BR/EVA)</x:v>
      </x:c>
      <x:c r="I2" t="str">
        <x:v>Boeing 787-10 (B78X)</x:v>
      </x:c>
      <x:c r="J2" t="str">
        <x:v>B-17813</x:v>
      </x:c>
      <x:c r="K2" t="str">
        <x:v>57H</x:v>
      </x:c>
      <x:c r="L2" t="n">
        <x:v>3</x:v>
      </x:c>
      <x:c r="M2" t="n">
        <x:v>1</x:v>
      </x:c>
      <x:c r="N2" t="n">
        <x:v>1</x:v>
      </x:c>
      <x:c r="O2" t="str"/>
      <x:c r="P2" t="n">
        <x:v>3016</x:v>
      </x:c>
      <x:c r="Q2" t="n">
        <x:v>1152</x:v>
      </x:c>
      <x:c r="R2" t="n">
        <x:v>281</x:v>
      </x:c>
      <x:c r="S2" t="n">
        <x:v>2138</x:v>
      </x:c>
    </x:row>
    <x:row r="3">
      <x:c r="A3" t="str">
        <x:v>2023-08-29</x:v>
      </x:c>
      <x:c r="B3" t="str">
        <x:v>BR191</x:v>
      </x:c>
      <x:c r="C3" t="str">
        <x:v>Tokyo / Haneda (HND/RJTT)</x:v>
      </x:c>
      <x:c r="D3" t="str">
        <x:v>Taipei / Taipei Songshan Airport (TSA/RCSS)</x:v>
      </x:c>
      <x:c r="E3" t="str">
        <x:v>12:40:00</x:v>
      </x:c>
      <x:c r="F3" t="str">
        <x:v>15:05:00</x:v>
      </x:c>
      <x:c r="G3" t="str">
        <x:v>03:25:00</x:v>
      </x:c>
      <x:c r="H3" t="str">
        <x:v>EVA Airways (BR/EVA)</x:v>
      </x:c>
      <x:c r="I3" t="str">
        <x:v>Boeing 787-10 (B78X)</x:v>
      </x:c>
      <x:c r="J3" t="str">
        <x:v>B-17811</x:v>
      </x:c>
      <x:c r="K3" t="str">
        <x:v>56H</x:v>
      </x:c>
      <x:c r="L3" t="n">
        <x:v>3</x:v>
      </x:c>
      <x:c r="M3" t="n">
        <x:v>1</x:v>
      </x:c>
      <x:c r="N3" t="n">
        <x:v>1</x:v>
      </x:c>
      <x:c r="O3" t="str"/>
      <x:c r="P3" t="n">
        <x:v>1152</x:v>
      </x:c>
      <x:c r="Q3" t="n">
        <x:v>3016</x:v>
      </x:c>
      <x:c r="R3" t="n">
        <x:v>281</x:v>
      </x:c>
      <x:c r="S3" t="n">
        <x:v>2138</x:v>
      </x:c>
    </x:row>
    <x:row r="4">
      <x:c r="A4" t="str">
        <x:v>2024-01-27</x:v>
      </x:c>
      <x:c r="B4" t="str">
        <x:v>CI112</x:v>
      </x:c>
      <x:c r="C4" t="str">
        <x:v>Taipei / Taoyuan (TPE/RCTP)</x:v>
      </x:c>
      <x:c r="D4" t="str">
        <x:v>Hiroshima / Hiroshima (HIJ/RJOA)</x:v>
      </x:c>
      <x:c r="E4" t="str">
        <x:v>17:20:00</x:v>
      </x:c>
      <x:c r="F4" t="str">
        <x:v>20:35:00</x:v>
      </x:c>
      <x:c r="G4" t="str">
        <x:v>02:15:00</x:v>
      </x:c>
      <x:c r="H4" t="str">
        <x:v>China Airlines (CI/CAL)</x:v>
      </x:c>
      <x:c r="I4" t="str">
        <x:v>Airbus A321neo (A21N)</x:v>
      </x:c>
      <x:c r="J4" t="str">
        <x:v>B-18110</x:v>
      </x:c>
      <x:c r="K4" t="str"/>
      <x:c r="L4" t="n">
        <x:v>3</x:v>
      </x:c>
      <x:c r="M4" t="n">
        <x:v>1</x:v>
      </x:c>
      <x:c r="N4" t="n">
        <x:v>1</x:v>
      </x:c>
      <x:c r="O4" t="str"/>
      <x:c r="P4" t="n">
        <x:v>2996</x:v>
      </x:c>
      <x:c r="Q4" t="n">
        <x:v>1131</x:v>
      </x:c>
      <x:c r="R4" t="n">
        <x:v>165</x:v>
      </x:c>
      <x:c r="S4" t="n">
        <x:v>2128</x:v>
      </x:c>
    </x:row>
    <x:row r="5">
      <x:c r="A5" t="str">
        <x:v>2024-02-04</x:v>
      </x:c>
      <x:c r="B5" t="str">
        <x:v>CI113</x:v>
      </x:c>
      <x:c r="C5" t="str">
        <x:v>Hiroshima / Hiroshima (HIJ/RJOA)</x:v>
      </x:c>
      <x:c r="D5" t="str">
        <x:v>Taipei / Taoyuan (TPE/RCTP)</x:v>
      </x:c>
      <x:c r="E5" t="str">
        <x:v>09:30:00</x:v>
      </x:c>
      <x:c r="F5" t="str">
        <x:v>11:25:00</x:v>
      </x:c>
      <x:c r="G5" t="str">
        <x:v>02:55:00</x:v>
      </x:c>
      <x:c r="H5" t="str">
        <x:v>China Airlines (CI/CAL)</x:v>
      </x:c>
      <x:c r="I5" t="str">
        <x:v>Airbus A321neo (A21N)</x:v>
      </x:c>
      <x:c r="J5" t="str">
        <x:v>B-18110</x:v>
      </x:c>
      <x:c r="K5" t="str"/>
      <x:c r="L5" t="n">
        <x:v>3</x:v>
      </x:c>
      <x:c r="M5" t="n">
        <x:v>1</x:v>
      </x:c>
      <x:c r="N5" t="n">
        <x:v>1</x:v>
      </x:c>
      <x:c r="O5" t="str"/>
      <x:c r="P5" t="n">
        <x:v>1131</x:v>
      </x:c>
      <x:c r="Q5" t="n">
        <x:v>2996</x:v>
      </x:c>
      <x:c r="R5" t="n">
        <x:v>165</x:v>
      </x:c>
      <x:c r="S5" t="n">
        <x:v>2128</x:v>
      </x:c>
    </x:row>
    <x:row r="6">
      <x:c r="A6" t="str">
        <x:v>2024-12-21</x:v>
      </x:c>
      <x:c r="B6" t="str">
        <x:v>BR178</x:v>
      </x:c>
      <x:c r="C6" t="str">
        <x:v>Taipei / Taoyuan (TPE/RCTP)</x:v>
      </x:c>
      <x:c r="D6" t="str">
        <x:v>Osaka / Kansai (KIX/RJBB)</x:v>
      </x:c>
      <x:c r="E6" t="str">
        <x:v>06:30:00</x:v>
      </x:c>
      <x:c r="F6" t="str">
        <x:v>09:55:00</x:v>
      </x:c>
      <x:c r="G6" t="str">
        <x:v>02:25:00</x:v>
      </x:c>
      <x:c r="H6" t="str">
        <x:v>EVA Airways (BR/EVA)</x:v>
      </x:c>
      <x:c r="I6" t="str">
        <x:v>Boeing 787-10 (B78X)</x:v>
      </x:c>
      <x:c r="J6" t="str">
        <x:v>B-17812</x:v>
      </x:c>
      <x:c r="K6" t="str">
        <x:v>23G</x:v>
      </x:c>
      <x:c r="L6" t="n">
        <x:v>0</x:v>
      </x:c>
      <x:c r="M6" t="n">
        <x:v>0</x:v>
      </x:c>
      <x:c r="N6" t="n">
        <x:v>0</x:v>
      </x:c>
      <x:c r="O6" t="str"/>
      <x:c r="P6" t="n">
        <x:v>2996</x:v>
      </x:c>
      <x:c r="Q6" t="n">
        <x:v>3597</x:v>
      </x:c>
      <x:c r="R6" t="n">
        <x:v>281</x:v>
      </x:c>
      <x:c r="S6" t="n">
        <x:v>2138</x:v>
      </x:c>
    </x:row>
    <x:row r="7">
      <x:c r="A7" t="str">
        <x:v>2024-12-25</x:v>
      </x:c>
      <x:c r="B7" t="str">
        <x:v>IT213</x:v>
      </x:c>
      <x:c r="C7" t="str">
        <x:v>Osaka / Kansai (KIX/RJBB)</x:v>
      </x:c>
      <x:c r="D7" t="str">
        <x:v>Taipei / Taoyuan (TPE/RCTP)</x:v>
      </x:c>
      <x:c r="E7" t="str">
        <x:v>18:55:00</x:v>
      </x:c>
      <x:c r="F7" t="str">
        <x:v>21:15:00</x:v>
      </x:c>
      <x:c r="G7" t="str">
        <x:v>03:20:00</x:v>
      </x:c>
      <x:c r="H7" t="str">
        <x:v>Kingfisher Airlines (IT/KFR)</x:v>
      </x:c>
      <x:c r="I7" t="str">
        <x:v>Airbus A320 (A320)</x:v>
      </x:c>
      <x:c r="J7" t="str">
        <x:v>B-50016</x:v>
      </x:c>
      <x:c r="K7" t="str"/>
      <x:c r="L7" t="n">
        <x:v>0</x:v>
      </x:c>
      <x:c r="M7" t="n">
        <x:v>0</x:v>
      </x:c>
      <x:c r="N7" t="n">
        <x:v>0</x:v>
      </x:c>
      <x:c r="O7" t="str"/>
      <x:c r="P7" t="n">
        <x:v>3597</x:v>
      </x:c>
      <x:c r="Q7" t="n">
        <x:v>2996</x:v>
      </x:c>
      <x:c r="R7" t="n">
        <x:v>237</x:v>
      </x:c>
      <x:c r="S7" t="n">
        <x:v>27</x:v>
      </x:c>
    </x:row>
  </x:sheetData>
  <x:pageMargins left="0.7" right="0.7" top="0.75" bottom="0.75" header="0.3" footer="0.3"/>
  <x:tableParts count="1">
    <x:tablePart xmlns:r="http://schemas.openxmlformats.org/officeDocument/2006/relationships" r:id="Ra2fc6c25409f4d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0" hidden="0" customWidth="1"/>
  </x:cols>
  <x:sheetData>
    <x:row r="1">
      <x:c r="A1" s="46" t="str">
        <x:v>Personal Flight Dashboard Data</x:v>
      </x:c>
      <x:c r="B1" s="11" t="str"/>
    </x:row>
    <x:row r="2">
      <x:c r="A2" s="47" t="str">
        <x:v>Metric</x:v>
      </x:c>
      <x:c r="B2" s="47" t="str">
        <x:v>Value</x:v>
      </x:c>
    </x:row>
    <x:row r="3">
      <x:c r="A3" s="11" t="str">
        <x:v>Total flights</x:v>
      </x:c>
      <x:c r="B3" s="11" t="n">
        <x:f>COUNTA(FlightLog!A2:A7)</x:f>
        <x:v>6</x:v>
      </x:c>
    </x:row>
    <x:row r="4">
      <x:c r="A4" s="11" t="str">
        <x:v>Total distance km</x:v>
      </x:c>
      <x:c r="B4" s="48" t="n">
        <x:f>SUM(FlightLog!V2:V7)</x:f>
        <x:v>10666</x:v>
      </x:c>
    </x:row>
    <x:row r="5">
      <x:c r="A5" s="11" t="str">
        <x:v>Total duration hours</x:v>
      </x:c>
      <x:c r="B5" s="48" t="n">
        <x:f>SUM(FlightLog!U2:U7)</x:f>
        <x:v>17.59</x:v>
      </x:c>
    </x:row>
    <x:row r="6">
      <x:c r="A6" s="11" t="str">
        <x:v>First flight date</x:v>
      </x:c>
      <x:c r="B6" s="49" t="n">
        <x:f>MIN(FlightLog!A2:A7)</x:f>
        <x:v>45164</x:v>
      </x:c>
    </x:row>
    <x:row r="7">
      <x:c r="A7" s="11" t="str">
        <x:v>Latest flight date</x:v>
      </x:c>
      <x:c r="B7" s="49" t="n">
        <x:f>MAX(FlightLog!A2:A7)</x:f>
        <x:v>45651</x:v>
      </x:c>
    </x:row>
    <x:row r="8">
      <x:c r="A8" s="11" t="str">
        <x:v>Most recent flight</x:v>
      </x:c>
      <x:c r="B8" s="11" t="str">
        <x:f>XLOOKUP(MAX(FlightLog!A2:A7),FlightLog!A2:A7,FlightLog!C2:C7&amp;" "&amp;FlightLog!Q2:Q7)</x:f>
        <x:v>IT213 KIX → TPE</x:v>
      </x:c>
    </x:row>
    <x:row r="9">
      <x:c r="A9" s="11" t="str"/>
      <x:c r="B9" s="11" t="str"/>
    </x:row>
    <x:row r="10">
      <x:c r="A10" s="11" t="str">
        <x:v>Note</x:v>
      </x:c>
      <x:c r="B10" s="11" t="str">
        <x:v>Use FlightLog as your editable data sheet. AirportMaster stores map coordinates for IATA codes.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0" t="str">
        <x:v>Item</x:v>
      </x:c>
      <x:c r="B1" s="60" t="str">
        <x:v>Note / URL</x:v>
      </x:c>
    </x:row>
    <x:row r="2">
      <x:c r="A2" t="str">
        <x:v>Purpose</x:v>
      </x:c>
      <x:c r="B2" t="str">
        <x:v>This workbook is normalized from myFlightradar24 CSV export and designed as the data source for Streamlit Flight_Log.py.</x:v>
      </x:c>
    </x:row>
    <x:row r="3">
      <x:c r="A3" t="str">
        <x:v>Airline correction</x:v>
      </x:c>
      <x:c r="B3" t="str">
        <x:v>The CSV exported IT213 as Kingfisher Airlines. The dashboard/workbook corrects flight code IT to Tigerair Taiwan / TTW.</x:v>
      </x:c>
    </x:row>
    <x:row r="4">
      <x:c r="A4" t="str">
        <x:v>Tigerair Taiwan flight IT213 source</x:v>
      </x:c>
      <x:c r="B4" t="str">
        <x:v>https://www.flightradar24.com/data/flights/it213</x:v>
      </x:c>
    </x:row>
    <x:row r="5">
      <x:c r="A5" t="str">
        <x:v>Tigerair Taiwan IATA/ICAO source</x:v>
      </x:c>
      <x:c r="B5" t="str">
        <x:v>https://www.tigerairtw.com/en/ready-to-go/timetable</x:v>
      </x:c>
    </x:row>
    <x:row r="6">
      <x:c r="A6" t="str">
        <x:v>Airport coordinates</x:v>
      </x:c>
      <x:c r="B6" t="str">
        <x:v>Coordinates are populated for airports in this uploaded file. Add new airports to AirportMaster when future routes are missing on the map.</x:v>
      </x:c>
    </x:row>
  </x:sheetData>
  <x:pageMargins left="0.7" right="0.7" top="0.75" bottom="0.75" header="0.3" footer="0.3"/>
</x:worksheet>
</file>